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المشاريع\pizza-sales-dashboard\"/>
    </mc:Choice>
  </mc:AlternateContent>
  <xr:revisionPtr revIDLastSave="0" documentId="13_ncr:1_{04954911-CD42-4DF6-86D9-D996E4A278C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المؤشرات الرئيسية" sheetId="1" r:id="rId1"/>
    <sheet name="التفاصيل" sheetId="2" r:id="rId2"/>
    <sheet name="مراجعة موديل Power BI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2" i="2" l="1"/>
  <c r="B42" i="2"/>
  <c r="G41" i="2"/>
  <c r="H41" i="2" s="1"/>
  <c r="E41" i="2"/>
  <c r="G40" i="2"/>
  <c r="H40" i="2" s="1"/>
  <c r="E40" i="2"/>
  <c r="G39" i="2"/>
  <c r="H39" i="2" s="1"/>
  <c r="E39" i="2"/>
  <c r="G38" i="2"/>
  <c r="H38" i="2" s="1"/>
  <c r="E38" i="2"/>
  <c r="G37" i="2"/>
  <c r="H37" i="2" s="1"/>
  <c r="E37" i="2"/>
  <c r="G36" i="2"/>
  <c r="H36" i="2" s="1"/>
  <c r="E36" i="2"/>
  <c r="G35" i="2"/>
  <c r="H35" i="2" s="1"/>
  <c r="E35" i="2"/>
  <c r="I31" i="2"/>
  <c r="C31" i="2"/>
  <c r="B31" i="2"/>
  <c r="G30" i="2"/>
  <c r="H30" i="2" s="1"/>
  <c r="E30" i="2"/>
  <c r="H29" i="2"/>
  <c r="G29" i="2"/>
  <c r="E29" i="2"/>
  <c r="H28" i="2"/>
  <c r="G28" i="2"/>
  <c r="E28" i="2"/>
  <c r="G27" i="2"/>
  <c r="H27" i="2" s="1"/>
  <c r="E27" i="2"/>
  <c r="H26" i="2"/>
  <c r="G26" i="2"/>
  <c r="E26" i="2"/>
  <c r="H25" i="2"/>
  <c r="G25" i="2"/>
  <c r="E25" i="2"/>
  <c r="G24" i="2"/>
  <c r="H24" i="2" s="1"/>
  <c r="E24" i="2"/>
  <c r="C20" i="2"/>
  <c r="B20" i="2"/>
  <c r="E19" i="2"/>
  <c r="E18" i="2"/>
  <c r="E17" i="2"/>
  <c r="E16" i="2"/>
  <c r="E15" i="2"/>
  <c r="B52" i="2" s="1"/>
  <c r="D52" i="2" s="1"/>
  <c r="E52" i="2" s="1"/>
  <c r="C11" i="2"/>
  <c r="B11" i="2"/>
  <c r="E10" i="2"/>
  <c r="B51" i="2" s="1"/>
  <c r="D51" i="2" s="1"/>
  <c r="E51" i="2" s="1"/>
  <c r="E9" i="2"/>
  <c r="B50" i="2" s="1"/>
  <c r="D50" i="2" s="1"/>
  <c r="E50" i="2" s="1"/>
  <c r="E8" i="2"/>
  <c r="B49" i="2" s="1"/>
  <c r="D49" i="2" s="1"/>
  <c r="E49" i="2" s="1"/>
  <c r="E7" i="2"/>
  <c r="B48" i="2" s="1"/>
  <c r="D48" i="2" s="1"/>
  <c r="E48" i="2" s="1"/>
  <c r="B3" i="2"/>
  <c r="D40" i="2" s="1"/>
  <c r="B11" i="1"/>
  <c r="B10" i="1"/>
  <c r="D10" i="1" s="1"/>
  <c r="E10" i="1" s="1"/>
  <c r="B9" i="1"/>
  <c r="D9" i="1" s="1"/>
  <c r="E9" i="1" s="1"/>
  <c r="E8" i="1"/>
  <c r="D8" i="1"/>
  <c r="D7" i="1"/>
  <c r="E7" i="1" s="1"/>
  <c r="D6" i="1"/>
  <c r="E6" i="1" s="1"/>
  <c r="E31" i="2" l="1"/>
  <c r="D8" i="2"/>
  <c r="G8" i="2" s="1"/>
  <c r="H8" i="2" s="1"/>
  <c r="D17" i="2"/>
  <c r="G17" i="2" s="1"/>
  <c r="H17" i="2" s="1"/>
  <c r="D26" i="2"/>
  <c r="D29" i="2"/>
  <c r="D35" i="2"/>
  <c r="D42" i="2" s="1"/>
  <c r="D38" i="2"/>
  <c r="D41" i="2"/>
  <c r="D9" i="2"/>
  <c r="G9" i="2" s="1"/>
  <c r="H9" i="2" s="1"/>
  <c r="D15" i="2"/>
  <c r="D18" i="2"/>
  <c r="G18" i="2" s="1"/>
  <c r="H18" i="2" s="1"/>
  <c r="D24" i="2"/>
  <c r="D27" i="2"/>
  <c r="D30" i="2"/>
  <c r="D36" i="2"/>
  <c r="D39" i="2"/>
  <c r="E11" i="2"/>
  <c r="E20" i="2"/>
  <c r="D7" i="2"/>
  <c r="D10" i="2"/>
  <c r="G10" i="2" s="1"/>
  <c r="H10" i="2" s="1"/>
  <c r="D16" i="2"/>
  <c r="G16" i="2" s="1"/>
  <c r="H16" i="2" s="1"/>
  <c r="D19" i="2"/>
  <c r="G19" i="2" s="1"/>
  <c r="H19" i="2" s="1"/>
  <c r="D25" i="2"/>
  <c r="D28" i="2"/>
  <c r="D37" i="2"/>
  <c r="G7" i="2" l="1"/>
  <c r="H7" i="2" s="1"/>
  <c r="D11" i="2"/>
  <c r="D31" i="2"/>
  <c r="G15" i="2"/>
  <c r="H15" i="2" s="1"/>
  <c r="D20" i="2"/>
</calcChain>
</file>

<file path=xl/sharedStrings.xml><?xml version="1.0" encoding="utf-8"?>
<sst xmlns="http://schemas.openxmlformats.org/spreadsheetml/2006/main" count="141" uniqueCount="94">
  <si>
    <t>مراجعة أرقام الداشبورد مقابل Power BI — المؤشرات الرئيسية</t>
  </si>
  <si>
    <t>المصدر: ملف Power BI (paiza.pbix) — محسوبة بنفس Measures الملف: Total Revenue = SUMX(quantity × price)</t>
  </si>
  <si>
    <t>الأزرق = قيم مُدخلة (من Power BI أو المعروضة في الداشبورد) · الأسود = معادلات</t>
  </si>
  <si>
    <t>المؤشر</t>
  </si>
  <si>
    <t>Power BI</t>
  </si>
  <si>
    <t>الداشبورد</t>
  </si>
  <si>
    <t>الفرق</t>
  </si>
  <si>
    <t>الحالة</t>
  </si>
  <si>
    <t>ملاحظة</t>
  </si>
  <si>
    <t>إجمالي الإيرادات ($)</t>
  </si>
  <si>
    <t>الداشبورد يعرضها $817.86K</t>
  </si>
  <si>
    <t>عدد الطلبات</t>
  </si>
  <si>
    <t>إجمالي البيتزا المباعة</t>
  </si>
  <si>
    <t>متوسط قيمة الطلب ($)</t>
  </si>
  <si>
    <t>الإيرادات ÷ عدد الطلبات</t>
  </si>
  <si>
    <t>متوسط سعر البيتزا ($)</t>
  </si>
  <si>
    <t>الإيرادات ÷ عدد البيتزا</t>
  </si>
  <si>
    <t>متوسط البيتزا لكل طلب</t>
  </si>
  <si>
    <t>—</t>
  </si>
  <si>
    <t>غير معروض في الداشبورد</t>
  </si>
  <si>
    <t>التفاصيل — الحصص والمتوسطات محسوبة بمعادلات من الإيرادات والكميات</t>
  </si>
  <si>
    <t>إجمالي الإيرادات المرجعي:</t>
  </si>
  <si>
    <t>المبيعات حسب الفئة</t>
  </si>
  <si>
    <t>البند</t>
  </si>
  <si>
    <t>الإيرادات ($)</t>
  </si>
  <si>
    <t>الكمية</t>
  </si>
  <si>
    <t>الحصة</t>
  </si>
  <si>
    <t>متوسط السعر ($)</t>
  </si>
  <si>
    <t>الداشبورد (حصة/قيمة)</t>
  </si>
  <si>
    <t>الداشبورد القديم (قبل التصليح)</t>
  </si>
  <si>
    <t>Classic</t>
  </si>
  <si>
    <t>Supreme</t>
  </si>
  <si>
    <t>Chicken</t>
  </si>
  <si>
    <t>Veggie</t>
  </si>
  <si>
    <t>الإجمالي</t>
  </si>
  <si>
    <t>المبيعات حسب الحجم</t>
  </si>
  <si>
    <t>Large</t>
  </si>
  <si>
    <t>Medium</t>
  </si>
  <si>
    <t>Small</t>
  </si>
  <si>
    <t>XL</t>
  </si>
  <si>
    <t>XL+XXL مدمجين 1.8%</t>
  </si>
  <si>
    <t>XXL</t>
  </si>
  <si>
    <t>المبيعات حسب اليوم</t>
  </si>
  <si>
    <t>Friday</t>
  </si>
  <si>
    <t>Thursday</t>
  </si>
  <si>
    <t>Saturday</t>
  </si>
  <si>
    <t>Wednesday</t>
  </si>
  <si>
    <t>Tuesday</t>
  </si>
  <si>
    <t>Monday</t>
  </si>
  <si>
    <t>Sunday</t>
  </si>
  <si>
    <t>أعلى 7 أصناف بالإيرادات</t>
  </si>
  <si>
    <t>The Thai Chicken Pizza</t>
  </si>
  <si>
    <t>The Barbecue Chicken Pizza</t>
  </si>
  <si>
    <t>The California Chicken Pizza</t>
  </si>
  <si>
    <t>California (اسم ناقص)</t>
  </si>
  <si>
    <t>The Classic Deluxe Pizza</t>
  </si>
  <si>
    <t>The Spicy Italian Pizza</t>
  </si>
  <si>
    <t>The Southwest Chicken Pizza</t>
  </si>
  <si>
    <t>Southwest 34.8 (غلط)</t>
  </si>
  <si>
    <t>The Italian Supreme Pizza</t>
  </si>
  <si>
    <t>ملاحظة: جدول أعلى 7 أصناف حصته من الإجمالي فقط وليس مجموعه = الإجمالي، فخلية "الحالة" في صف إجماليه غير مطلوبة.</t>
  </si>
  <si>
    <t>متوسط السعر حسب الفئة (= الإيرادات ÷ الكمية) مقابل الداشبورد</t>
  </si>
  <si>
    <t>متوسط Power BI ($)</t>
  </si>
  <si>
    <t>الداشبورد ($)</t>
  </si>
  <si>
    <t>الداشبورد القديم ($)</t>
  </si>
  <si>
    <t>مراجعة موديل Power BI</t>
  </si>
  <si>
    <t>#</t>
  </si>
  <si>
    <t>النتيجة / التأثير</t>
  </si>
  <si>
    <t>الإجراء</t>
  </si>
  <si>
    <t>علاقة التقويم: clander_Date[Date] (1) → orders[date] (*)</t>
  </si>
  <si>
    <t>موجودة وشغالة (Single). Revenue YTD وRevenue MoM % وWeekend Revenue بيتفلتروا صح</t>
  </si>
  <si>
    <t>سليم — مفيش إجراء (تصحيح: المراجعة الأولى قالت إنها ناقصة وده كان غلط في القراءة)</t>
  </si>
  <si>
    <t>✔ سليم</t>
  </si>
  <si>
    <t>clander_Date متعلّم Date table</t>
  </si>
  <si>
    <t>العمود Date هو المفتاح، ودوال الوقت (TOTALYTD / DATEADD) هتشتغل صح</t>
  </si>
  <si>
    <t>سليم — مفيش إجراء</t>
  </si>
  <si>
    <t>مدى التقويم: CALENDAR(MIN(orders[date]), MAX(orders[date]))</t>
  </si>
  <si>
    <t>بيغطي 1 يناير – 31 ديسمبر 2015 من غير فجوات</t>
  </si>
  <si>
    <t>سليم — لو اتضافت بيانات سنة جديدة هيتمد لوحده</t>
  </si>
  <si>
    <t>Is Weekend = WEEKDAY([Date],2) &gt; 5 يعني السبت والأحد</t>
  </si>
  <si>
    <t>Weekend Revenue = إيراد السبت + الأحد = $222,385.90</t>
  </si>
  <si>
    <t>لو عايز الويك إند السعودي (الجمعة والسبت): IF(WEEKDAY([Date],2) IN {5,6}, TRUE(), FALSE())</t>
  </si>
  <si>
    <t>قرارك</t>
  </si>
  <si>
    <t>التقرير: صفحتين، كل صفحة عليها كارت واحد (Revenue YTD) ومتكرر</t>
  </si>
  <si>
    <t>التقرير مش بيعرض الفئات أو الأحجام أو الأيام أو أعلى الأصناف</t>
  </si>
  <si>
    <t>ابنِ الـ Visuals على الـ Measures الموجودة واحذف الكارت المكرر</t>
  </si>
  <si>
    <t>متوسطة</t>
  </si>
  <si>
    <t>كارت الصفحة الأولى عليه فلتر Advanced على Revenue YTD من غير شرط</t>
  </si>
  <si>
    <t>غالباً فلتر فاضي ومش بيأثر، بس ملوش لازمة</t>
  </si>
  <si>
    <t>افتح Filters pane واحذفه</t>
  </si>
  <si>
    <t>منخفضة</t>
  </si>
  <si>
    <t>البيانات</t>
  </si>
  <si>
    <t>مفيش صفوف مكررة ولا قيم فاضية، وكل طلب مربوط بصنف وسعر، والتواريخ من 1 يناير لـ 31 ديسمبر 2015</t>
  </si>
  <si>
    <t>مفيش إجراء مطلوب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</si>
</sst>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"/>
    <numFmt numFmtId="165" formatCode="0.0%"/>
    <numFmt numFmtId="166" formatCode="0.0%;\-0.0%;0.0%"/>
    <numFmt numFmtId="167" formatCode="\$#,##0.0\K"/>
    <numFmt numFmtId="168" formatCode="#,##0.0;\-#,##0.0;0.0"/>
    <numFmt numFmtId="169" formatCode="\$#,##0\K"/>
    <numFmt numFmtId="170" formatCode="0.00;\-0.00;0.00"/>
  </numFmts>
  <fonts count="9" x14ac:knownFonts="1">
    <font>
      <sz val="11"/>
      <color theme="1"/>
      <name val="Calibri"/>
      <family val="2"/>
      <charset val="1"/>
    </font>
    <font>
      <b/>
      <sz val="14"/>
      <color rgb="FF163A6B"/>
      <name val="Arial"/>
      <charset val="1"/>
    </font>
    <font>
      <i/>
      <sz val="9"/>
      <color rgb="FF7A8AA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b/>
      <sz val="11"/>
      <color rgb="FF008000"/>
      <name val="Arial"/>
      <charset val="1"/>
    </font>
    <font>
      <b/>
      <sz val="12"/>
      <color rgb="FF163A6B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E4D8A"/>
        <bgColor rgb="FF163A6B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5" fontId="5" fillId="0" borderId="1" xfId="0" applyNumberFormat="1" applyFont="1" applyBorder="1"/>
    <xf numFmtId="0" fontId="5" fillId="0" borderId="1" xfId="0" applyFont="1" applyBorder="1"/>
    <xf numFmtId="169" fontId="5" fillId="0" borderId="1" xfId="0" applyNumberFormat="1" applyFont="1" applyBorder="1"/>
    <xf numFmtId="169" fontId="4" fillId="0" borderId="1" xfId="0" applyNumberFormat="1" applyFont="1" applyBorder="1"/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170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AA0"/>
      <rgbColor rgb="FF9999FF"/>
      <rgbColor rgb="FF993366"/>
      <rgbColor rgb="FFFEE2E2"/>
      <rgbColor rgb="FFDCFCE7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A6B"/>
      <rgbColor rgb="FF339966"/>
      <rgbColor rgb="FF003300"/>
      <rgbColor rgb="FF333300"/>
      <rgbColor rgb="FF993300"/>
      <rgbColor rgb="FF993366"/>
      <rgbColor rgb="FF1E4D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rightToLeft="1" tabSelected="1" zoomScaleNormal="100" workbookViewId="0">
      <pane ySplit="5" topLeftCell="A6" activePane="bottomLeft" state="frozen"/>
      <selection pane="bottomLeft" activeCell="D15" sqref="D15"/>
    </sheetView>
  </sheetViews>
  <sheetFormatPr defaultColWidth="8.6640625" defaultRowHeight="14.4" x14ac:dyDescent="0.3"/>
  <cols>
    <col min="1" max="1" width="30" customWidth="1"/>
    <col min="2" max="3" width="18" customWidth="1"/>
    <col min="4" max="4" width="14" customWidth="1"/>
    <col min="5" max="5" width="12" customWidth="1"/>
    <col min="6" max="6" width="40" customWidth="1"/>
  </cols>
  <sheetData>
    <row r="1" spans="1:6" ht="17.399999999999999" x14ac:dyDescent="0.3">
      <c r="A1" s="8" t="s">
        <v>0</v>
      </c>
      <c r="B1" s="9"/>
      <c r="C1" s="9"/>
      <c r="D1" s="9"/>
      <c r="E1" s="9"/>
      <c r="F1" s="9"/>
    </row>
    <row r="2" spans="1:6" x14ac:dyDescent="0.3">
      <c r="A2" s="10" t="s">
        <v>1</v>
      </c>
      <c r="B2" s="9"/>
      <c r="C2" s="9"/>
      <c r="D2" s="9"/>
      <c r="E2" s="9"/>
      <c r="F2" s="9"/>
    </row>
    <row r="3" spans="1:6" x14ac:dyDescent="0.3">
      <c r="A3" s="10" t="s">
        <v>2</v>
      </c>
      <c r="B3" s="9"/>
      <c r="C3" s="9"/>
      <c r="D3" s="9"/>
      <c r="E3" s="9"/>
      <c r="F3" s="9"/>
    </row>
    <row r="4" spans="1:6" x14ac:dyDescent="0.3">
      <c r="A4" s="9"/>
      <c r="B4" s="9"/>
      <c r="C4" s="9"/>
      <c r="D4" s="9"/>
      <c r="E4" s="9"/>
      <c r="F4" s="9"/>
    </row>
    <row r="5" spans="1:6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x14ac:dyDescent="0.3">
      <c r="A6" s="14" t="s">
        <v>9</v>
      </c>
      <c r="B6" s="15">
        <v>817860.05</v>
      </c>
      <c r="C6" s="15">
        <v>817860</v>
      </c>
      <c r="D6" s="18">
        <f>C6-B6</f>
        <v>-5.0000000046566129E-2</v>
      </c>
      <c r="E6" s="21" t="str">
        <f>IF(ABS(D6)&lt;=5,"✔ مطابق","✘ مختلف")</f>
        <v>✔ مطابق</v>
      </c>
      <c r="F6" s="21" t="s">
        <v>10</v>
      </c>
    </row>
    <row r="7" spans="1:6" x14ac:dyDescent="0.3">
      <c r="A7" s="14" t="s">
        <v>11</v>
      </c>
      <c r="B7" s="16">
        <v>21350</v>
      </c>
      <c r="C7" s="16">
        <v>21350</v>
      </c>
      <c r="D7" s="28">
        <f>C7-B7</f>
        <v>0</v>
      </c>
      <c r="E7" s="21" t="str">
        <f>IF(ABS(D7)&lt;=0,"✔ مطابق","✘ مختلف")</f>
        <v>✔ مطابق</v>
      </c>
      <c r="F7" s="21"/>
    </row>
    <row r="8" spans="1:6" x14ac:dyDescent="0.3">
      <c r="A8" s="14" t="s">
        <v>12</v>
      </c>
      <c r="B8" s="16">
        <v>49574</v>
      </c>
      <c r="C8" s="16">
        <v>49574</v>
      </c>
      <c r="D8" s="28">
        <f>C8-B8</f>
        <v>0</v>
      </c>
      <c r="E8" s="21" t="str">
        <f>IF(ABS(D8)&lt;=0,"✔ مطابق","✘ مختلف")</f>
        <v>✔ مطابق</v>
      </c>
      <c r="F8" s="21"/>
    </row>
    <row r="9" spans="1:6" x14ac:dyDescent="0.3">
      <c r="A9" s="14" t="s">
        <v>13</v>
      </c>
      <c r="B9" s="18">
        <f>B6/B7</f>
        <v>38.307262295081969</v>
      </c>
      <c r="C9" s="15">
        <v>38.31</v>
      </c>
      <c r="D9" s="18">
        <f>C9-B9</f>
        <v>2.7377049180330459E-3</v>
      </c>
      <c r="E9" s="21" t="str">
        <f>IF(ABS(D9)&lt;=0.005,"✔ مطابق","✘ مختلف")</f>
        <v>✔ مطابق</v>
      </c>
      <c r="F9" s="21" t="s">
        <v>14</v>
      </c>
    </row>
    <row r="10" spans="1:6" x14ac:dyDescent="0.3">
      <c r="A10" s="14" t="s">
        <v>15</v>
      </c>
      <c r="B10" s="18">
        <f>B6/B8</f>
        <v>16.497761931657724</v>
      </c>
      <c r="C10" s="15">
        <v>16.5</v>
      </c>
      <c r="D10" s="18">
        <f>C10-B10</f>
        <v>2.2380683422760228E-3</v>
      </c>
      <c r="E10" s="21" t="str">
        <f>IF(ABS(D10)&lt;=0.005,"✔ مطابق","✘ مختلف")</f>
        <v>✔ مطابق</v>
      </c>
      <c r="F10" s="21" t="s">
        <v>16</v>
      </c>
    </row>
    <row r="11" spans="1:6" x14ac:dyDescent="0.3">
      <c r="A11" s="14" t="s">
        <v>17</v>
      </c>
      <c r="B11" s="29">
        <f>B8/B7</f>
        <v>2.3219672131147542</v>
      </c>
      <c r="C11" s="21" t="s">
        <v>18</v>
      </c>
      <c r="D11" s="21"/>
      <c r="E11" s="21" t="s">
        <v>18</v>
      </c>
      <c r="F11" s="21" t="s">
        <v>19</v>
      </c>
    </row>
    <row r="12" spans="1:6" x14ac:dyDescent="0.3">
      <c r="A12" s="9"/>
      <c r="B12" s="9"/>
      <c r="C12" s="9"/>
      <c r="D12" s="9"/>
      <c r="E12" s="9"/>
      <c r="F12" s="9"/>
    </row>
  </sheetData>
  <conditionalFormatting sqref="E6:E10">
    <cfRule type="expression" dxfId="11" priority="2">
      <formula>ABS($D6)&lt;=5</formula>
    </cfRule>
    <cfRule type="expression" dxfId="10" priority="3">
      <formula>ABS($D6)&gt;5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"/>
  <sheetViews>
    <sheetView rightToLeft="1" zoomScaleNormal="100" workbookViewId="0">
      <selection activeCell="B12" sqref="B12"/>
    </sheetView>
  </sheetViews>
  <sheetFormatPr defaultColWidth="8.6640625" defaultRowHeight="14.4" x14ac:dyDescent="0.3"/>
  <cols>
    <col min="1" max="1" width="24" customWidth="1"/>
    <col min="2" max="2" width="16" customWidth="1"/>
    <col min="3" max="3" width="12" customWidth="1"/>
    <col min="4" max="4" width="11" customWidth="1"/>
    <col min="5" max="5" width="12" customWidth="1"/>
    <col min="6" max="6" width="13" customWidth="1"/>
    <col min="7" max="8" width="12" customWidth="1"/>
    <col min="9" max="9" width="16" customWidth="1"/>
  </cols>
  <sheetData>
    <row r="1" spans="1:9" ht="17.399999999999999" x14ac:dyDescent="0.3">
      <c r="A1" s="8" t="s">
        <v>20</v>
      </c>
      <c r="B1" s="9"/>
      <c r="C1" s="9"/>
      <c r="D1" s="9"/>
      <c r="E1" s="9"/>
      <c r="F1" s="9"/>
      <c r="G1" s="9"/>
      <c r="H1" s="9"/>
    </row>
    <row r="2" spans="1:9" x14ac:dyDescent="0.3">
      <c r="A2" s="10" t="s">
        <v>1</v>
      </c>
      <c r="B2" s="9"/>
      <c r="C2" s="9"/>
      <c r="D2" s="9"/>
      <c r="E2" s="9"/>
      <c r="F2" s="9"/>
      <c r="G2" s="9"/>
      <c r="H2" s="9"/>
    </row>
    <row r="3" spans="1:9" x14ac:dyDescent="0.3">
      <c r="A3" s="11" t="s">
        <v>21</v>
      </c>
      <c r="B3" s="12">
        <f>'المؤشرات الرئيسية'!B6</f>
        <v>817860.05</v>
      </c>
      <c r="C3" s="9"/>
      <c r="D3" s="9"/>
      <c r="E3" s="9"/>
      <c r="F3" s="9"/>
      <c r="G3" s="9"/>
      <c r="H3" s="9"/>
    </row>
    <row r="4" spans="1:9" x14ac:dyDescent="0.3">
      <c r="A4" s="9"/>
      <c r="B4" s="9"/>
      <c r="C4" s="9"/>
      <c r="D4" s="9"/>
      <c r="E4" s="9"/>
      <c r="F4" s="9"/>
      <c r="G4" s="9"/>
      <c r="H4" s="9"/>
    </row>
    <row r="5" spans="1:9" ht="15.6" x14ac:dyDescent="0.3">
      <c r="A5" s="13" t="s">
        <v>22</v>
      </c>
      <c r="B5" s="9"/>
      <c r="C5" s="9"/>
      <c r="D5" s="9"/>
      <c r="E5" s="9"/>
      <c r="F5" s="9"/>
      <c r="G5" s="9"/>
      <c r="H5" s="9"/>
    </row>
    <row r="6" spans="1:9" ht="27.6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6</v>
      </c>
      <c r="H6" s="2" t="s">
        <v>7</v>
      </c>
      <c r="I6" s="2" t="s">
        <v>29</v>
      </c>
    </row>
    <row r="7" spans="1:9" x14ac:dyDescent="0.3">
      <c r="A7" s="14" t="s">
        <v>30</v>
      </c>
      <c r="B7" s="15">
        <v>220053.1</v>
      </c>
      <c r="C7" s="16">
        <v>14888</v>
      </c>
      <c r="D7" s="17">
        <f>B7/$B$3</f>
        <v>0.26905960255669659</v>
      </c>
      <c r="E7" s="18">
        <f>B7/C7</f>
        <v>14.780568242880172</v>
      </c>
      <c r="F7" s="19">
        <v>0.26900000000000002</v>
      </c>
      <c r="G7" s="20">
        <f>F7-ROUND(D7,3)</f>
        <v>0</v>
      </c>
      <c r="H7" s="21" t="str">
        <f>IF(ABS(G7)&lt;=0.0005,"✔ مطابق","✘ مختلف")</f>
        <v>✔ مطابق</v>
      </c>
      <c r="I7" s="3">
        <v>0.26900000000000002</v>
      </c>
    </row>
    <row r="8" spans="1:9" x14ac:dyDescent="0.3">
      <c r="A8" s="14" t="s">
        <v>31</v>
      </c>
      <c r="B8" s="15">
        <v>208197</v>
      </c>
      <c r="C8" s="16">
        <v>11987</v>
      </c>
      <c r="D8" s="17">
        <f>B8/$B$3</f>
        <v>0.25456311260098841</v>
      </c>
      <c r="E8" s="18">
        <f>B8/C8</f>
        <v>17.368565946441979</v>
      </c>
      <c r="F8" s="19">
        <v>0.255</v>
      </c>
      <c r="G8" s="20">
        <f>F8-ROUND(D8,3)</f>
        <v>0</v>
      </c>
      <c r="H8" s="21" t="str">
        <f>IF(ABS(G8)&lt;=0.0005,"✔ مطابق","✘ مختلف")</f>
        <v>✔ مطابق</v>
      </c>
      <c r="I8" s="3">
        <v>0.255</v>
      </c>
    </row>
    <row r="9" spans="1:9" x14ac:dyDescent="0.3">
      <c r="A9" s="14" t="s">
        <v>32</v>
      </c>
      <c r="B9" s="15">
        <v>195919.5</v>
      </c>
      <c r="C9" s="16">
        <v>11050</v>
      </c>
      <c r="D9" s="17">
        <f>B9/$B$3</f>
        <v>0.23955137556847286</v>
      </c>
      <c r="E9" s="18">
        <f>B9/C9</f>
        <v>17.730271493212669</v>
      </c>
      <c r="F9" s="19">
        <v>0.24</v>
      </c>
      <c r="G9" s="20">
        <f>F9-ROUND(D9,3)</f>
        <v>0</v>
      </c>
      <c r="H9" s="21" t="str">
        <f>IF(ABS(G9)&lt;=0.0005,"✔ مطابق","✘ مختلف")</f>
        <v>✔ مطابق</v>
      </c>
      <c r="I9" s="3">
        <v>0.24</v>
      </c>
    </row>
    <row r="10" spans="1:9" x14ac:dyDescent="0.3">
      <c r="A10" s="14" t="s">
        <v>33</v>
      </c>
      <c r="B10" s="15">
        <v>193690.45</v>
      </c>
      <c r="C10" s="16">
        <v>11649</v>
      </c>
      <c r="D10" s="17">
        <f>B10/$B$3</f>
        <v>0.23682590927384214</v>
      </c>
      <c r="E10" s="18">
        <f>B10/C10</f>
        <v>16.627216928491716</v>
      </c>
      <c r="F10" s="19">
        <v>0.23699999999999999</v>
      </c>
      <c r="G10" s="20">
        <f>F10-ROUND(D10,3)</f>
        <v>0</v>
      </c>
      <c r="H10" s="21" t="str">
        <f>IF(ABS(G10)&lt;=0.0005,"✔ مطابق","✘ مختلف")</f>
        <v>✔ مطابق</v>
      </c>
      <c r="I10" s="3">
        <v>0.23599999999999999</v>
      </c>
    </row>
    <row r="11" spans="1:9" x14ac:dyDescent="0.3">
      <c r="A11" s="14" t="s">
        <v>34</v>
      </c>
      <c r="B11" s="22">
        <f>SUM(B7:B10)</f>
        <v>817860.05</v>
      </c>
      <c r="C11" s="23">
        <f>SUM(C7:C10)</f>
        <v>49574</v>
      </c>
      <c r="D11" s="24">
        <f>SUM(D7:D10)</f>
        <v>1</v>
      </c>
      <c r="E11" s="14" t="str">
        <f>IF(ABS(B11-$B$3)&lt;1,"✔ المجموع = الإجمالي","✘ المجموع لا يساوي الإجمالي")</f>
        <v>✔ المجموع = الإجمالي</v>
      </c>
      <c r="F11" s="9"/>
      <c r="G11" s="9"/>
      <c r="H11" s="9"/>
    </row>
    <row r="12" spans="1:9" x14ac:dyDescent="0.3">
      <c r="A12" s="9"/>
      <c r="B12" s="9"/>
      <c r="C12" s="9"/>
      <c r="D12" s="9"/>
      <c r="E12" s="9"/>
      <c r="F12" s="9"/>
      <c r="G12" s="9"/>
      <c r="H12" s="9"/>
    </row>
    <row r="13" spans="1:9" ht="15.6" x14ac:dyDescent="0.3">
      <c r="A13" s="13" t="s">
        <v>35</v>
      </c>
      <c r="B13" s="9"/>
      <c r="C13" s="9"/>
      <c r="D13" s="9"/>
      <c r="E13" s="9"/>
      <c r="F13" s="9"/>
      <c r="G13" s="9"/>
      <c r="H13" s="9"/>
    </row>
    <row r="14" spans="1:9" ht="27.6" x14ac:dyDescent="0.3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28</v>
      </c>
      <c r="G14" s="2" t="s">
        <v>6</v>
      </c>
      <c r="H14" s="2" t="s">
        <v>7</v>
      </c>
      <c r="I14" s="2" t="s">
        <v>29</v>
      </c>
    </row>
    <row r="15" spans="1:9" x14ac:dyDescent="0.3">
      <c r="A15" s="14" t="s">
        <v>36</v>
      </c>
      <c r="B15" s="15">
        <v>375318.7</v>
      </c>
      <c r="C15" s="16">
        <v>18956</v>
      </c>
      <c r="D15" s="17">
        <f>B15/$B$3</f>
        <v>0.45890332948772838</v>
      </c>
      <c r="E15" s="18">
        <f>B15/C15</f>
        <v>19.79946718717029</v>
      </c>
      <c r="F15" s="19">
        <v>0.45900000000000002</v>
      </c>
      <c r="G15" s="20">
        <f>F15-ROUND(D15,3)</f>
        <v>0</v>
      </c>
      <c r="H15" s="21" t="str">
        <f>IF(ABS(G15)&lt;=0.0005,"✔ مطابق","✘ مختلف")</f>
        <v>✔ مطابق</v>
      </c>
      <c r="I15" s="3">
        <v>0.45900000000000002</v>
      </c>
    </row>
    <row r="16" spans="1:9" x14ac:dyDescent="0.3">
      <c r="A16" s="14" t="s">
        <v>37</v>
      </c>
      <c r="B16" s="15">
        <v>249382.25</v>
      </c>
      <c r="C16" s="16">
        <v>15635</v>
      </c>
      <c r="D16" s="17">
        <f>B16/$B$3</f>
        <v>0.30492044451859457</v>
      </c>
      <c r="E16" s="18">
        <f>B16/C16</f>
        <v>15.950255836264791</v>
      </c>
      <c r="F16" s="19">
        <v>0.30499999999999999</v>
      </c>
      <c r="G16" s="20">
        <f>F16-ROUND(D16,3)</f>
        <v>0</v>
      </c>
      <c r="H16" s="21" t="str">
        <f>IF(ABS(G16)&lt;=0.0005,"✔ مطابق","✘ مختلف")</f>
        <v>✔ مطابق</v>
      </c>
      <c r="I16" s="3">
        <v>0.30499999999999999</v>
      </c>
    </row>
    <row r="17" spans="1:9" x14ac:dyDescent="0.3">
      <c r="A17" s="14" t="s">
        <v>38</v>
      </c>
      <c r="B17" s="15">
        <v>178076.5</v>
      </c>
      <c r="C17" s="16">
        <v>14403</v>
      </c>
      <c r="D17" s="17">
        <f>B17/$B$3</f>
        <v>0.21773468455880685</v>
      </c>
      <c r="E17" s="18">
        <f>B17/C17</f>
        <v>12.363847809484135</v>
      </c>
      <c r="F17" s="19">
        <v>0.218</v>
      </c>
      <c r="G17" s="20">
        <f>F17-ROUND(D17,3)</f>
        <v>0</v>
      </c>
      <c r="H17" s="21" t="str">
        <f>IF(ABS(G17)&lt;=0.0005,"✔ مطابق","✘ مختلف")</f>
        <v>✔ مطابق</v>
      </c>
      <c r="I17" s="3">
        <v>0.218</v>
      </c>
    </row>
    <row r="18" spans="1:9" x14ac:dyDescent="0.3">
      <c r="A18" s="14" t="s">
        <v>39</v>
      </c>
      <c r="B18" s="15">
        <v>14076</v>
      </c>
      <c r="C18" s="16">
        <v>552</v>
      </c>
      <c r="D18" s="17">
        <f>B18/$B$3</f>
        <v>1.7210768517180904E-2</v>
      </c>
      <c r="E18" s="18">
        <f>B18/C18</f>
        <v>25.5</v>
      </c>
      <c r="F18" s="19">
        <v>1.7000000000000001E-2</v>
      </c>
      <c r="G18" s="20">
        <f>F18-ROUND(D18,3)</f>
        <v>0</v>
      </c>
      <c r="H18" s="21" t="str">
        <f>IF(ABS(G18)&lt;=0.0005,"✔ مطابق","✘ مختلف")</f>
        <v>✔ مطابق</v>
      </c>
      <c r="I18" s="4" t="s">
        <v>40</v>
      </c>
    </row>
    <row r="19" spans="1:9" x14ac:dyDescent="0.3">
      <c r="A19" s="14" t="s">
        <v>41</v>
      </c>
      <c r="B19" s="15">
        <v>1006.6</v>
      </c>
      <c r="C19" s="16">
        <v>28</v>
      </c>
      <c r="D19" s="17">
        <f>B19/$B$3</f>
        <v>1.2307729176892794E-3</v>
      </c>
      <c r="E19" s="18">
        <f>B19/C19</f>
        <v>35.950000000000003</v>
      </c>
      <c r="F19" s="19">
        <v>1E-3</v>
      </c>
      <c r="G19" s="20">
        <f>F19-ROUND(D19,3)</f>
        <v>0</v>
      </c>
      <c r="H19" s="21" t="str">
        <f>IF(ABS(G19)&lt;=0.0005,"✔ مطابق","✘ مختلف")</f>
        <v>✔ مطابق</v>
      </c>
      <c r="I19" s="4"/>
    </row>
    <row r="20" spans="1:9" x14ac:dyDescent="0.3">
      <c r="A20" s="14" t="s">
        <v>34</v>
      </c>
      <c r="B20" s="22">
        <f>SUM(B15:B19)</f>
        <v>817860.04999999993</v>
      </c>
      <c r="C20" s="23">
        <f>SUM(C15:C19)</f>
        <v>49574</v>
      </c>
      <c r="D20" s="24">
        <f>SUM(D15:D19)</f>
        <v>1</v>
      </c>
      <c r="E20" s="14" t="str">
        <f>IF(ABS(B20-$B$3)&lt;1,"✔ المجموع = الإجمالي","✘ المجموع لا يساوي الإجمالي")</f>
        <v>✔ المجموع = الإجمالي</v>
      </c>
      <c r="F20" s="9"/>
      <c r="G20" s="9"/>
      <c r="H20" s="9"/>
    </row>
    <row r="21" spans="1:9" x14ac:dyDescent="0.3">
      <c r="A21" s="9"/>
      <c r="B21" s="9"/>
      <c r="C21" s="9"/>
      <c r="D21" s="9"/>
      <c r="E21" s="9"/>
      <c r="F21" s="9"/>
      <c r="G21" s="9"/>
      <c r="H21" s="9"/>
    </row>
    <row r="22" spans="1:9" ht="15.6" x14ac:dyDescent="0.3">
      <c r="A22" s="13" t="s">
        <v>42</v>
      </c>
      <c r="B22" s="9"/>
      <c r="C22" s="9"/>
      <c r="D22" s="9"/>
      <c r="E22" s="9"/>
      <c r="F22" s="9"/>
      <c r="G22" s="9"/>
      <c r="H22" s="9"/>
    </row>
    <row r="23" spans="1:9" ht="27.6" x14ac:dyDescent="0.3">
      <c r="A23" s="2" t="s">
        <v>23</v>
      </c>
      <c r="B23" s="2" t="s">
        <v>24</v>
      </c>
      <c r="C23" s="2" t="s">
        <v>25</v>
      </c>
      <c r="D23" s="2" t="s">
        <v>26</v>
      </c>
      <c r="E23" s="2" t="s">
        <v>27</v>
      </c>
      <c r="F23" s="2" t="s">
        <v>28</v>
      </c>
      <c r="G23" s="2" t="s">
        <v>6</v>
      </c>
      <c r="H23" s="2" t="s">
        <v>7</v>
      </c>
      <c r="I23" s="2" t="s">
        <v>29</v>
      </c>
    </row>
    <row r="24" spans="1:9" x14ac:dyDescent="0.3">
      <c r="A24" s="14" t="s">
        <v>43</v>
      </c>
      <c r="B24" s="15">
        <v>136073.9</v>
      </c>
      <c r="C24" s="16">
        <v>8242</v>
      </c>
      <c r="D24" s="17">
        <f t="shared" ref="D24:D30" si="0">B24/$B$3</f>
        <v>0.16637797628090525</v>
      </c>
      <c r="E24" s="18">
        <f t="shared" ref="E24:E30" si="1">B24/C24</f>
        <v>16.509815578743023</v>
      </c>
      <c r="F24" s="25">
        <v>136.1</v>
      </c>
      <c r="G24" s="26">
        <f t="shared" ref="G24:G30" si="2">F24-ROUND(B24/1000,1)</f>
        <v>0</v>
      </c>
      <c r="H24" s="21" t="str">
        <f t="shared" ref="H24:H30" si="3">IF(ABS(G24)&lt;=0.05,"✔ مطابق","✘ مختلف")</f>
        <v>✔ مطابق</v>
      </c>
      <c r="I24" s="5">
        <v>136</v>
      </c>
    </row>
    <row r="25" spans="1:9" x14ac:dyDescent="0.3">
      <c r="A25" s="14" t="s">
        <v>44</v>
      </c>
      <c r="B25" s="15">
        <v>123528.5</v>
      </c>
      <c r="C25" s="16">
        <v>7478</v>
      </c>
      <c r="D25" s="17">
        <f t="shared" si="0"/>
        <v>0.15103867709396002</v>
      </c>
      <c r="E25" s="18">
        <f t="shared" si="1"/>
        <v>16.518922171703665</v>
      </c>
      <c r="F25" s="25">
        <v>123.5</v>
      </c>
      <c r="G25" s="26">
        <f t="shared" si="2"/>
        <v>0</v>
      </c>
      <c r="H25" s="21" t="str">
        <f t="shared" si="3"/>
        <v>✔ مطابق</v>
      </c>
      <c r="I25" s="5">
        <v>126</v>
      </c>
    </row>
    <row r="26" spans="1:9" x14ac:dyDescent="0.3">
      <c r="A26" s="14" t="s">
        <v>45</v>
      </c>
      <c r="B26" s="15">
        <v>123182.39999999999</v>
      </c>
      <c r="C26" s="16">
        <v>7493</v>
      </c>
      <c r="D26" s="17">
        <f t="shared" si="0"/>
        <v>0.15061549955887929</v>
      </c>
      <c r="E26" s="18">
        <f t="shared" si="1"/>
        <v>16.439663686107032</v>
      </c>
      <c r="F26" s="25">
        <v>123.2</v>
      </c>
      <c r="G26" s="26">
        <f t="shared" si="2"/>
        <v>0</v>
      </c>
      <c r="H26" s="21" t="str">
        <f t="shared" si="3"/>
        <v>✔ مطابق</v>
      </c>
      <c r="I26" s="5">
        <v>120</v>
      </c>
    </row>
    <row r="27" spans="1:9" x14ac:dyDescent="0.3">
      <c r="A27" s="14" t="s">
        <v>46</v>
      </c>
      <c r="B27" s="15">
        <v>114408.4</v>
      </c>
      <c r="C27" s="16">
        <v>6946</v>
      </c>
      <c r="D27" s="17">
        <f t="shared" si="0"/>
        <v>0.13988750275795961</v>
      </c>
      <c r="E27" s="18">
        <f t="shared" si="1"/>
        <v>16.471120069104519</v>
      </c>
      <c r="F27" s="25">
        <v>114.4</v>
      </c>
      <c r="G27" s="26">
        <f t="shared" si="2"/>
        <v>0</v>
      </c>
      <c r="H27" s="21" t="str">
        <f t="shared" si="3"/>
        <v>✔ مطابق</v>
      </c>
      <c r="I27" s="5">
        <v>112</v>
      </c>
    </row>
    <row r="28" spans="1:9" x14ac:dyDescent="0.3">
      <c r="A28" s="14" t="s">
        <v>47</v>
      </c>
      <c r="B28" s="15">
        <v>114133.8</v>
      </c>
      <c r="C28" s="16">
        <v>6895</v>
      </c>
      <c r="D28" s="17">
        <f t="shared" si="0"/>
        <v>0.13955174849291146</v>
      </c>
      <c r="E28" s="18">
        <f t="shared" si="1"/>
        <v>16.553125453226976</v>
      </c>
      <c r="F28" s="25">
        <v>114.1</v>
      </c>
      <c r="G28" s="26">
        <f t="shared" si="2"/>
        <v>0</v>
      </c>
      <c r="H28" s="21" t="str">
        <f t="shared" si="3"/>
        <v>✔ مطابق</v>
      </c>
      <c r="I28" s="5">
        <v>104</v>
      </c>
    </row>
    <row r="29" spans="1:9" x14ac:dyDescent="0.3">
      <c r="A29" s="14" t="s">
        <v>48</v>
      </c>
      <c r="B29" s="15">
        <v>107329.55</v>
      </c>
      <c r="C29" s="16">
        <v>6485</v>
      </c>
      <c r="D29" s="17">
        <f t="shared" si="0"/>
        <v>0.13123217107865826</v>
      </c>
      <c r="E29" s="18">
        <f t="shared" si="1"/>
        <v>16.550431765612952</v>
      </c>
      <c r="F29" s="25">
        <v>107.3</v>
      </c>
      <c r="G29" s="26">
        <f t="shared" si="2"/>
        <v>0</v>
      </c>
      <c r="H29" s="21" t="str">
        <f t="shared" si="3"/>
        <v>✔ مطابق</v>
      </c>
      <c r="I29" s="5">
        <v>96</v>
      </c>
    </row>
    <row r="30" spans="1:9" x14ac:dyDescent="0.3">
      <c r="A30" s="14" t="s">
        <v>49</v>
      </c>
      <c r="B30" s="15">
        <v>99203.5</v>
      </c>
      <c r="C30" s="16">
        <v>6035</v>
      </c>
      <c r="D30" s="17">
        <f t="shared" si="0"/>
        <v>0.12129642473672604</v>
      </c>
      <c r="E30" s="18">
        <f t="shared" si="1"/>
        <v>16.438028169014085</v>
      </c>
      <c r="F30" s="25">
        <v>99.2</v>
      </c>
      <c r="G30" s="26">
        <f t="shared" si="2"/>
        <v>0</v>
      </c>
      <c r="H30" s="21" t="str">
        <f t="shared" si="3"/>
        <v>✔ مطابق</v>
      </c>
      <c r="I30" s="5">
        <v>94</v>
      </c>
    </row>
    <row r="31" spans="1:9" x14ac:dyDescent="0.3">
      <c r="A31" s="14" t="s">
        <v>34</v>
      </c>
      <c r="B31" s="22">
        <f>SUM(B24:B30)</f>
        <v>817860.05</v>
      </c>
      <c r="C31" s="23">
        <f>SUM(C24:C30)</f>
        <v>49574</v>
      </c>
      <c r="D31" s="24">
        <f>SUM(D24:D30)</f>
        <v>0.99999999999999989</v>
      </c>
      <c r="E31" s="14" t="str">
        <f>IF(ABS(B31-$B$3)&lt;1,"✔ المجموع = الإجمالي","✘ المجموع لا يساوي الإجمالي")</f>
        <v>✔ المجموع = الإجمالي</v>
      </c>
      <c r="F31" s="9"/>
      <c r="G31" s="9"/>
      <c r="H31" s="9"/>
      <c r="I31" s="6">
        <f>SUM(I24:I30)</f>
        <v>788</v>
      </c>
    </row>
    <row r="32" spans="1:9" x14ac:dyDescent="0.3">
      <c r="A32" s="9"/>
      <c r="B32" s="9"/>
      <c r="C32" s="9"/>
      <c r="D32" s="9"/>
      <c r="E32" s="9"/>
      <c r="F32" s="9"/>
      <c r="G32" s="9"/>
      <c r="H32" s="9"/>
    </row>
    <row r="33" spans="1:9" ht="15.6" x14ac:dyDescent="0.3">
      <c r="A33" s="13" t="s">
        <v>50</v>
      </c>
      <c r="B33" s="9"/>
      <c r="C33" s="9"/>
      <c r="D33" s="9"/>
      <c r="E33" s="9"/>
      <c r="F33" s="9"/>
      <c r="G33" s="9"/>
      <c r="H33" s="9"/>
    </row>
    <row r="34" spans="1:9" ht="27.6" x14ac:dyDescent="0.3">
      <c r="A34" s="2" t="s">
        <v>23</v>
      </c>
      <c r="B34" s="2" t="s">
        <v>24</v>
      </c>
      <c r="C34" s="2" t="s">
        <v>25</v>
      </c>
      <c r="D34" s="2" t="s">
        <v>26</v>
      </c>
      <c r="E34" s="2" t="s">
        <v>27</v>
      </c>
      <c r="F34" s="2" t="s">
        <v>28</v>
      </c>
      <c r="G34" s="2" t="s">
        <v>6</v>
      </c>
      <c r="H34" s="2" t="s">
        <v>7</v>
      </c>
      <c r="I34" s="2" t="s">
        <v>29</v>
      </c>
    </row>
    <row r="35" spans="1:9" x14ac:dyDescent="0.3">
      <c r="A35" s="14" t="s">
        <v>51</v>
      </c>
      <c r="B35" s="15">
        <v>43434.25</v>
      </c>
      <c r="C35" s="16">
        <v>2371</v>
      </c>
      <c r="D35" s="17">
        <f t="shared" ref="D35:D41" si="4">B35/$B$3</f>
        <v>5.3107191138630619E-2</v>
      </c>
      <c r="E35" s="18">
        <f t="shared" ref="E35:E41" si="5">B35/C35</f>
        <v>18.31895824546605</v>
      </c>
      <c r="F35" s="25">
        <v>43.4</v>
      </c>
      <c r="G35" s="26">
        <f t="shared" ref="G35:G41" si="6">F35-ROUND(B35/1000,1)</f>
        <v>0</v>
      </c>
      <c r="H35" s="21" t="str">
        <f t="shared" ref="H35:H41" si="7">IF(ABS(G35)&lt;=0.05,"✔ مطابق","✘ مختلف")</f>
        <v>✔ مطابق</v>
      </c>
      <c r="I35" s="5">
        <v>43</v>
      </c>
    </row>
    <row r="36" spans="1:9" x14ac:dyDescent="0.3">
      <c r="A36" s="14" t="s">
        <v>52</v>
      </c>
      <c r="B36" s="15">
        <v>42768</v>
      </c>
      <c r="C36" s="16">
        <v>2432</v>
      </c>
      <c r="D36" s="17">
        <f t="shared" si="4"/>
        <v>5.229256521332714E-2</v>
      </c>
      <c r="E36" s="18">
        <f t="shared" si="5"/>
        <v>17.585526315789473</v>
      </c>
      <c r="F36" s="25">
        <v>42.8</v>
      </c>
      <c r="G36" s="26">
        <f t="shared" si="6"/>
        <v>0</v>
      </c>
      <c r="H36" s="21" t="str">
        <f t="shared" si="7"/>
        <v>✔ مطابق</v>
      </c>
      <c r="I36" s="5">
        <v>43</v>
      </c>
    </row>
    <row r="37" spans="1:9" x14ac:dyDescent="0.3">
      <c r="A37" s="14" t="s">
        <v>53</v>
      </c>
      <c r="B37" s="15">
        <v>41409.5</v>
      </c>
      <c r="C37" s="16">
        <v>2370</v>
      </c>
      <c r="D37" s="17">
        <f t="shared" si="4"/>
        <v>5.0631523082708338E-2</v>
      </c>
      <c r="E37" s="18">
        <f t="shared" si="5"/>
        <v>17.472362869198314</v>
      </c>
      <c r="F37" s="25">
        <v>41.4</v>
      </c>
      <c r="G37" s="26">
        <f t="shared" si="6"/>
        <v>0</v>
      </c>
      <c r="H37" s="21" t="str">
        <f t="shared" si="7"/>
        <v>✔ مطابق</v>
      </c>
      <c r="I37" s="4" t="s">
        <v>54</v>
      </c>
    </row>
    <row r="38" spans="1:9" x14ac:dyDescent="0.3">
      <c r="A38" s="14" t="s">
        <v>55</v>
      </c>
      <c r="B38" s="15">
        <v>38180.5</v>
      </c>
      <c r="C38" s="16">
        <v>2453</v>
      </c>
      <c r="D38" s="17">
        <f t="shared" si="4"/>
        <v>4.6683414845852901E-2</v>
      </c>
      <c r="E38" s="18">
        <f t="shared" si="5"/>
        <v>15.564818589482266</v>
      </c>
      <c r="F38" s="25">
        <v>38.200000000000003</v>
      </c>
      <c r="G38" s="26">
        <f t="shared" si="6"/>
        <v>0</v>
      </c>
      <c r="H38" s="21" t="str">
        <f t="shared" si="7"/>
        <v>✔ مطابق</v>
      </c>
      <c r="I38" s="5">
        <v>38</v>
      </c>
    </row>
    <row r="39" spans="1:9" x14ac:dyDescent="0.3">
      <c r="A39" s="14" t="s">
        <v>56</v>
      </c>
      <c r="B39" s="15">
        <v>34831.25</v>
      </c>
      <c r="C39" s="16">
        <v>1924</v>
      </c>
      <c r="D39" s="17">
        <f t="shared" si="4"/>
        <v>4.2588276563942692E-2</v>
      </c>
      <c r="E39" s="18">
        <f t="shared" si="5"/>
        <v>18.10356029106029</v>
      </c>
      <c r="F39" s="25">
        <v>34.799999999999997</v>
      </c>
      <c r="G39" s="26">
        <f t="shared" si="6"/>
        <v>0</v>
      </c>
      <c r="H39" s="21" t="str">
        <f t="shared" si="7"/>
        <v>✔ مطابق</v>
      </c>
      <c r="I39" s="5">
        <v>35</v>
      </c>
    </row>
    <row r="40" spans="1:9" x14ac:dyDescent="0.3">
      <c r="A40" s="14" t="s">
        <v>57</v>
      </c>
      <c r="B40" s="15">
        <v>34705.75</v>
      </c>
      <c r="C40" s="16">
        <v>1917</v>
      </c>
      <c r="D40" s="17">
        <f t="shared" si="4"/>
        <v>4.2434827327731676E-2</v>
      </c>
      <c r="E40" s="18">
        <f t="shared" si="5"/>
        <v>18.104199269692227</v>
      </c>
      <c r="F40" s="25">
        <v>34.700000000000003</v>
      </c>
      <c r="G40" s="26">
        <f t="shared" si="6"/>
        <v>0</v>
      </c>
      <c r="H40" s="21" t="str">
        <f t="shared" si="7"/>
        <v>✔ مطابق</v>
      </c>
      <c r="I40" s="4" t="s">
        <v>58</v>
      </c>
    </row>
    <row r="41" spans="1:9" x14ac:dyDescent="0.3">
      <c r="A41" s="14" t="s">
        <v>59</v>
      </c>
      <c r="B41" s="15">
        <v>33476.75</v>
      </c>
      <c r="C41" s="16">
        <v>1884</v>
      </c>
      <c r="D41" s="17">
        <f t="shared" si="4"/>
        <v>4.0932125245633402E-2</v>
      </c>
      <c r="E41" s="18">
        <f t="shared" si="5"/>
        <v>17.768975583864119</v>
      </c>
      <c r="F41" s="25">
        <v>33.5</v>
      </c>
      <c r="G41" s="26">
        <f t="shared" si="6"/>
        <v>0</v>
      </c>
      <c r="H41" s="21" t="str">
        <f t="shared" si="7"/>
        <v>✔ مطابق</v>
      </c>
      <c r="I41" s="5">
        <v>33</v>
      </c>
    </row>
    <row r="42" spans="1:9" x14ac:dyDescent="0.3">
      <c r="A42" s="14" t="s">
        <v>34</v>
      </c>
      <c r="B42" s="22">
        <f>SUM(B35:B41)</f>
        <v>268806</v>
      </c>
      <c r="C42" s="23">
        <f>SUM(C35:C41)</f>
        <v>15351</v>
      </c>
      <c r="D42" s="24">
        <f>SUM(D35:D41)</f>
        <v>0.32866992341782675</v>
      </c>
      <c r="E42" s="9"/>
      <c r="F42" s="9"/>
      <c r="G42" s="9"/>
      <c r="H42" s="9"/>
    </row>
    <row r="43" spans="1:9" x14ac:dyDescent="0.3">
      <c r="A43" s="9"/>
      <c r="B43" s="9"/>
      <c r="C43" s="9"/>
      <c r="D43" s="9"/>
      <c r="E43" s="9"/>
      <c r="F43" s="9"/>
      <c r="G43" s="9"/>
      <c r="H43" s="9"/>
    </row>
    <row r="44" spans="1:9" x14ac:dyDescent="0.3">
      <c r="A44" s="10" t="s">
        <v>60</v>
      </c>
      <c r="B44" s="9"/>
      <c r="C44" s="9"/>
      <c r="D44" s="9"/>
      <c r="E44" s="9"/>
      <c r="F44" s="9"/>
      <c r="G44" s="9"/>
      <c r="H44" s="9"/>
    </row>
    <row r="45" spans="1:9" x14ac:dyDescent="0.3">
      <c r="A45" s="9"/>
      <c r="B45" s="9"/>
      <c r="C45" s="9"/>
      <c r="D45" s="9"/>
      <c r="E45" s="9"/>
      <c r="F45" s="9"/>
      <c r="G45" s="9"/>
      <c r="H45" s="9"/>
    </row>
    <row r="46" spans="1:9" ht="15.6" x14ac:dyDescent="0.3">
      <c r="A46" s="13" t="s">
        <v>61</v>
      </c>
      <c r="B46" s="9"/>
      <c r="C46" s="9"/>
      <c r="D46" s="9"/>
      <c r="E46" s="9"/>
      <c r="F46" s="9"/>
      <c r="G46" s="9"/>
      <c r="H46" s="9"/>
    </row>
    <row r="47" spans="1:9" ht="27.6" x14ac:dyDescent="0.3">
      <c r="A47" s="2" t="s">
        <v>23</v>
      </c>
      <c r="B47" s="2" t="s">
        <v>62</v>
      </c>
      <c r="C47" s="2" t="s">
        <v>63</v>
      </c>
      <c r="D47" s="2" t="s">
        <v>6</v>
      </c>
      <c r="E47" s="2" t="s">
        <v>7</v>
      </c>
      <c r="F47" s="2" t="s">
        <v>64</v>
      </c>
      <c r="G47" s="9"/>
      <c r="H47" s="9"/>
    </row>
    <row r="48" spans="1:9" x14ac:dyDescent="0.3">
      <c r="A48" s="14" t="s">
        <v>30</v>
      </c>
      <c r="B48" s="18">
        <f>E7</f>
        <v>14.780568242880172</v>
      </c>
      <c r="C48" s="15">
        <v>14.78</v>
      </c>
      <c r="D48" s="27">
        <f>C48-ROUND(B48,2)</f>
        <v>0</v>
      </c>
      <c r="E48" s="21" t="str">
        <f>IF(ABS(D48)&lt;=0.005,"✔ مطابق","✘ مختلف")</f>
        <v>✔ مطابق</v>
      </c>
      <c r="F48" s="15">
        <v>14.8</v>
      </c>
      <c r="G48" s="9"/>
      <c r="H48" s="9"/>
    </row>
    <row r="49" spans="1:8" x14ac:dyDescent="0.3">
      <c r="A49" s="14" t="s">
        <v>31</v>
      </c>
      <c r="B49" s="18">
        <f>E8</f>
        <v>17.368565946441979</v>
      </c>
      <c r="C49" s="15">
        <v>17.37</v>
      </c>
      <c r="D49" s="27">
        <f>C49-ROUND(B49,2)</f>
        <v>0</v>
      </c>
      <c r="E49" s="21" t="str">
        <f>IF(ABS(D49)&lt;=0.005,"✔ مطابق","✘ مختلف")</f>
        <v>✔ مطابق</v>
      </c>
      <c r="F49" s="15">
        <v>16.399999999999999</v>
      </c>
      <c r="G49" s="9"/>
      <c r="H49" s="9"/>
    </row>
    <row r="50" spans="1:8" x14ac:dyDescent="0.3">
      <c r="A50" s="14" t="s">
        <v>32</v>
      </c>
      <c r="B50" s="18">
        <f>E9</f>
        <v>17.730271493212669</v>
      </c>
      <c r="C50" s="15">
        <v>17.73</v>
      </c>
      <c r="D50" s="27">
        <f>C50-ROUND(B50,2)</f>
        <v>0</v>
      </c>
      <c r="E50" s="21" t="str">
        <f>IF(ABS(D50)&lt;=0.005,"✔ مطابق","✘ مختلف")</f>
        <v>✔ مطابق</v>
      </c>
      <c r="F50" s="15">
        <v>17.8</v>
      </c>
      <c r="G50" s="9"/>
      <c r="H50" s="9"/>
    </row>
    <row r="51" spans="1:8" x14ac:dyDescent="0.3">
      <c r="A51" s="14" t="s">
        <v>33</v>
      </c>
      <c r="B51" s="18">
        <f>E10</f>
        <v>16.627216928491716</v>
      </c>
      <c r="C51" s="15">
        <v>16.63</v>
      </c>
      <c r="D51" s="27">
        <f>C51-ROUND(B51,2)</f>
        <v>0</v>
      </c>
      <c r="E51" s="21" t="str">
        <f>IF(ABS(D51)&lt;=0.005,"✔ مطابق","✘ مختلف")</f>
        <v>✔ مطابق</v>
      </c>
      <c r="F51" s="15">
        <v>16</v>
      </c>
      <c r="G51" s="9"/>
      <c r="H51" s="9"/>
    </row>
    <row r="52" spans="1:8" x14ac:dyDescent="0.3">
      <c r="A52" s="14" t="s">
        <v>36</v>
      </c>
      <c r="B52" s="18">
        <f>E15</f>
        <v>19.79946718717029</v>
      </c>
      <c r="C52" s="15">
        <v>19.8</v>
      </c>
      <c r="D52" s="27">
        <f>C52-ROUND(B52,2)</f>
        <v>0</v>
      </c>
      <c r="E52" s="21" t="str">
        <f>IF(ABS(D52)&lt;=0.005,"✔ مطابق","✘ مختلف")</f>
        <v>✔ مطابق</v>
      </c>
      <c r="F52" s="15">
        <v>19.8</v>
      </c>
      <c r="G52" s="9"/>
      <c r="H52" s="9"/>
    </row>
    <row r="53" spans="1:8" x14ac:dyDescent="0.3">
      <c r="A53" s="9"/>
      <c r="B53" s="9"/>
      <c r="C53" s="9"/>
      <c r="D53" s="9"/>
      <c r="E53" s="9"/>
      <c r="F53" s="9"/>
      <c r="G53" s="9"/>
      <c r="H53" s="9"/>
    </row>
    <row r="54" spans="1:8" x14ac:dyDescent="0.3">
      <c r="A54" s="9"/>
      <c r="B54" s="9"/>
      <c r="C54" s="9"/>
      <c r="D54" s="9"/>
      <c r="E54" s="9"/>
      <c r="F54" s="9"/>
      <c r="G54" s="9"/>
      <c r="H54" s="9"/>
    </row>
    <row r="55" spans="1:8" x14ac:dyDescent="0.3">
      <c r="A55" s="9"/>
      <c r="B55" s="9"/>
      <c r="C55" s="9"/>
      <c r="D55" s="9"/>
      <c r="E55" s="9"/>
      <c r="F55" s="9"/>
      <c r="G55" s="9"/>
      <c r="H55" s="9"/>
    </row>
    <row r="56" spans="1:8" x14ac:dyDescent="0.3">
      <c r="A56" s="9"/>
      <c r="B56" s="9"/>
      <c r="C56" s="9"/>
      <c r="D56" s="9"/>
      <c r="E56" s="9"/>
      <c r="F56" s="9"/>
      <c r="G56" s="9"/>
      <c r="H56" s="9"/>
    </row>
    <row r="57" spans="1:8" x14ac:dyDescent="0.3">
      <c r="A57" s="9"/>
      <c r="B57" s="9"/>
      <c r="C57" s="9"/>
      <c r="D57" s="9"/>
      <c r="E57" s="9"/>
      <c r="F57" s="9"/>
      <c r="G57" s="9"/>
      <c r="H57" s="9"/>
    </row>
    <row r="58" spans="1:8" x14ac:dyDescent="0.3">
      <c r="A58" s="9"/>
      <c r="B58" s="9"/>
      <c r="C58" s="9"/>
      <c r="D58" s="9"/>
      <c r="E58" s="9"/>
      <c r="F58" s="9"/>
      <c r="G58" s="9"/>
      <c r="H58" s="9"/>
    </row>
    <row r="59" spans="1:8" x14ac:dyDescent="0.3">
      <c r="A59" s="9"/>
      <c r="B59" s="9"/>
      <c r="C59" s="9"/>
      <c r="D59" s="9"/>
      <c r="E59" s="9"/>
      <c r="F59" s="9"/>
      <c r="G59" s="9"/>
      <c r="H59" s="9"/>
    </row>
    <row r="60" spans="1:8" x14ac:dyDescent="0.3">
      <c r="A60" s="9"/>
      <c r="B60" s="9"/>
      <c r="C60" s="9"/>
      <c r="D60" s="9"/>
      <c r="E60" s="9"/>
      <c r="F60" s="9"/>
      <c r="G60" s="9"/>
      <c r="H60" s="9"/>
    </row>
    <row r="61" spans="1:8" x14ac:dyDescent="0.3">
      <c r="A61" s="9"/>
      <c r="B61" s="9"/>
      <c r="C61" s="9"/>
      <c r="D61" s="9"/>
      <c r="E61" s="9"/>
      <c r="F61" s="9"/>
      <c r="G61" s="9"/>
      <c r="H61" s="9"/>
    </row>
    <row r="62" spans="1:8" x14ac:dyDescent="0.3">
      <c r="A62" s="9"/>
      <c r="B62" s="9"/>
      <c r="C62" s="9"/>
      <c r="D62" s="9"/>
      <c r="E62" s="9"/>
      <c r="F62" s="9"/>
      <c r="G62" s="9"/>
      <c r="H62" s="9"/>
    </row>
    <row r="63" spans="1:8" x14ac:dyDescent="0.3">
      <c r="A63" s="9"/>
      <c r="B63" s="9"/>
      <c r="C63" s="9"/>
      <c r="D63" s="9"/>
      <c r="E63" s="9"/>
      <c r="F63" s="9"/>
      <c r="G63" s="9"/>
      <c r="H63" s="9"/>
    </row>
    <row r="64" spans="1:8" x14ac:dyDescent="0.3">
      <c r="A64" s="9"/>
      <c r="B64" s="9"/>
      <c r="C64" s="9"/>
      <c r="D64" s="9"/>
      <c r="E64" s="9"/>
      <c r="F64" s="9"/>
      <c r="G64" s="9"/>
      <c r="H64" s="9"/>
    </row>
    <row r="65" spans="1:8" x14ac:dyDescent="0.3">
      <c r="A65" s="9"/>
      <c r="B65" s="9"/>
      <c r="C65" s="9"/>
      <c r="D65" s="9"/>
      <c r="E65" s="9"/>
      <c r="F65" s="9"/>
      <c r="G65" s="9"/>
      <c r="H65" s="9"/>
    </row>
    <row r="66" spans="1:8" x14ac:dyDescent="0.3">
      <c r="A66" s="9"/>
      <c r="B66" s="9"/>
      <c r="C66" s="9"/>
      <c r="D66" s="9"/>
      <c r="E66" s="9"/>
      <c r="F66" s="9"/>
      <c r="G66" s="9"/>
      <c r="H66" s="9"/>
    </row>
    <row r="67" spans="1:8" x14ac:dyDescent="0.3">
      <c r="A67" s="9"/>
      <c r="B67" s="9"/>
      <c r="C67" s="9"/>
      <c r="D67" s="9"/>
      <c r="E67" s="9"/>
      <c r="F67" s="9"/>
      <c r="G67" s="9"/>
      <c r="H67" s="9"/>
    </row>
    <row r="68" spans="1:8" x14ac:dyDescent="0.3">
      <c r="A68" s="9"/>
      <c r="B68" s="9"/>
      <c r="C68" s="9"/>
      <c r="D68" s="9"/>
      <c r="E68" s="9"/>
      <c r="F68" s="9"/>
      <c r="G68" s="9"/>
      <c r="H68" s="9"/>
    </row>
    <row r="69" spans="1:8" x14ac:dyDescent="0.3">
      <c r="A69" s="9"/>
      <c r="B69" s="9"/>
      <c r="C69" s="9"/>
      <c r="D69" s="9"/>
      <c r="E69" s="9"/>
      <c r="F69" s="9"/>
      <c r="G69" s="9"/>
      <c r="H69" s="9"/>
    </row>
    <row r="70" spans="1:8" x14ac:dyDescent="0.3">
      <c r="A70" s="9"/>
      <c r="B70" s="9"/>
      <c r="C70" s="9"/>
      <c r="D70" s="9"/>
      <c r="E70" s="9"/>
      <c r="F70" s="9"/>
      <c r="G70" s="9"/>
      <c r="H70" s="9"/>
    </row>
    <row r="71" spans="1:8" x14ac:dyDescent="0.3">
      <c r="A71" s="9"/>
      <c r="B71" s="9"/>
      <c r="C71" s="9"/>
      <c r="D71" s="9"/>
      <c r="E71" s="9"/>
      <c r="F71" s="9"/>
      <c r="G71" s="9"/>
      <c r="H71" s="9"/>
    </row>
  </sheetData>
  <conditionalFormatting sqref="E48:E52">
    <cfRule type="expression" dxfId="9" priority="10">
      <formula>ABS($D48)&lt;=0.005</formula>
    </cfRule>
    <cfRule type="expression" dxfId="8" priority="11">
      <formula>ABS($D48)&gt;0.005</formula>
    </cfRule>
  </conditionalFormatting>
  <conditionalFormatting sqref="H7:H10">
    <cfRule type="expression" dxfId="7" priority="2">
      <formula>ABS($G7)&lt;=0.0005</formula>
    </cfRule>
    <cfRule type="expression" dxfId="6" priority="3">
      <formula>ABS($G7)&gt;0.0005</formula>
    </cfRule>
  </conditionalFormatting>
  <conditionalFormatting sqref="H15:H19">
    <cfRule type="expression" dxfId="5" priority="4">
      <formula>ABS($G15)&lt;=0.0005</formula>
    </cfRule>
    <cfRule type="expression" dxfId="4" priority="5">
      <formula>ABS($G15)&gt;0.0005</formula>
    </cfRule>
  </conditionalFormatting>
  <conditionalFormatting sqref="H24:H30">
    <cfRule type="expression" dxfId="3" priority="6">
      <formula>ABS($G24)&lt;=0.05</formula>
    </cfRule>
    <cfRule type="expression" dxfId="2" priority="7">
      <formula>ABS($G24)&gt;0.05</formula>
    </cfRule>
  </conditionalFormatting>
  <conditionalFormatting sqref="H35:H41">
    <cfRule type="expression" dxfId="1" priority="8">
      <formula>ABS($G35)&lt;=0.05</formula>
    </cfRule>
    <cfRule type="expression" dxfId="0" priority="9">
      <formula>ABS($G35)&gt;0.05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rightToLeft="1" topLeftCell="A5" zoomScaleNormal="100" workbookViewId="0">
      <selection activeCell="C9" sqref="C9"/>
    </sheetView>
  </sheetViews>
  <sheetFormatPr defaultColWidth="8.6640625" defaultRowHeight="14.4" x14ac:dyDescent="0.3"/>
  <cols>
    <col min="1" max="1" width="6" customWidth="1"/>
    <col min="2" max="2" width="34" customWidth="1"/>
    <col min="3" max="4" width="52" customWidth="1"/>
    <col min="5" max="5" width="12" customWidth="1"/>
  </cols>
  <sheetData>
    <row r="1" spans="1:5" ht="17.399999999999999" x14ac:dyDescent="0.3">
      <c r="A1" s="1" t="s">
        <v>65</v>
      </c>
    </row>
    <row r="3" spans="1:5" x14ac:dyDescent="0.3">
      <c r="A3" s="2" t="s">
        <v>66</v>
      </c>
      <c r="B3" s="2" t="s">
        <v>23</v>
      </c>
      <c r="C3" s="2" t="s">
        <v>67</v>
      </c>
      <c r="D3" s="2" t="s">
        <v>68</v>
      </c>
      <c r="E3" s="2" t="s">
        <v>7</v>
      </c>
    </row>
    <row r="4" spans="1:5" ht="61.5" customHeight="1" x14ac:dyDescent="0.3">
      <c r="A4" s="7">
        <v>1</v>
      </c>
      <c r="B4" s="7" t="s">
        <v>69</v>
      </c>
      <c r="C4" s="7" t="s">
        <v>70</v>
      </c>
      <c r="D4" s="7" t="s">
        <v>71</v>
      </c>
      <c r="E4" s="7" t="s">
        <v>72</v>
      </c>
    </row>
    <row r="5" spans="1:5" ht="61.5" customHeight="1" x14ac:dyDescent="0.3">
      <c r="A5" s="7">
        <v>2</v>
      </c>
      <c r="B5" s="7" t="s">
        <v>73</v>
      </c>
      <c r="C5" s="7" t="s">
        <v>74</v>
      </c>
      <c r="D5" s="7" t="s">
        <v>75</v>
      </c>
      <c r="E5" s="7" t="s">
        <v>72</v>
      </c>
    </row>
    <row r="6" spans="1:5" ht="61.5" customHeight="1" x14ac:dyDescent="0.3">
      <c r="A6" s="7">
        <v>3</v>
      </c>
      <c r="B6" s="7" t="s">
        <v>76</v>
      </c>
      <c r="C6" s="7" t="s">
        <v>77</v>
      </c>
      <c r="D6" s="7" t="s">
        <v>78</v>
      </c>
      <c r="E6" s="7" t="s">
        <v>72</v>
      </c>
    </row>
    <row r="7" spans="1:5" ht="61.5" customHeight="1" x14ac:dyDescent="0.3">
      <c r="A7" s="7">
        <v>4</v>
      </c>
      <c r="B7" s="7" t="s">
        <v>79</v>
      </c>
      <c r="C7" s="7" t="s">
        <v>80</v>
      </c>
      <c r="D7" s="7" t="s">
        <v>81</v>
      </c>
      <c r="E7" s="7" t="s">
        <v>82</v>
      </c>
    </row>
    <row r="8" spans="1:5" ht="61.5" customHeight="1" x14ac:dyDescent="0.3">
      <c r="A8" s="7">
        <v>5</v>
      </c>
      <c r="B8" s="7" t="s">
        <v>83</v>
      </c>
      <c r="C8" s="7" t="s">
        <v>84</v>
      </c>
      <c r="D8" s="7" t="s">
        <v>85</v>
      </c>
      <c r="E8" s="7" t="s">
        <v>86</v>
      </c>
    </row>
    <row r="9" spans="1:5" ht="61.5" customHeight="1" x14ac:dyDescent="0.3">
      <c r="A9" s="7">
        <v>6</v>
      </c>
      <c r="B9" s="7" t="s">
        <v>87</v>
      </c>
      <c r="C9" s="7" t="s">
        <v>88</v>
      </c>
      <c r="D9" s="7" t="s">
        <v>89</v>
      </c>
      <c r="E9" s="7" t="s">
        <v>90</v>
      </c>
    </row>
    <row r="10" spans="1:5" ht="61.5" customHeight="1" x14ac:dyDescent="0.3">
      <c r="A10" s="7">
        <v>7</v>
      </c>
      <c r="B10" s="7" t="s">
        <v>91</v>
      </c>
      <c r="C10" s="7" t="s">
        <v>92</v>
      </c>
      <c r="D10" s="7" t="s">
        <v>93</v>
      </c>
      <c r="E10" s="7" t="s">
        <v>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المؤشرات الرئيسية</vt:lpstr>
      <vt:lpstr>التفاصيل</vt:lpstr>
      <vt:lpstr>مراجعة موديل Power 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Ismail Abdelrazik</cp:lastModifiedBy>
  <cp:revision>0</cp:revision>
  <dcterms:created xsi:type="dcterms:W3CDTF">2026-10-06T12:12:31Z</dcterms:created>
  <dcterms:modified xsi:type="dcterms:W3CDTF">2026-10-06T12:58:20Z</dcterms:modified>
  <dc:language>en-US</dc:language>
</cp:coreProperties>
</file>